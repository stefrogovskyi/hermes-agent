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Легенда &amp; Правила" sheetId="1" state="visible" r:id="rId1"/>
    <sheet xmlns:r="http://schemas.openxmlformats.org/officeDocument/2006/relationships" name="📊 Monthly Dashboard" sheetId="2" state="visible" r:id="rId2"/>
    <sheet xmlns:r="http://schemas.openxmlformats.org/officeDocument/2006/relationships" name="🎯 Forwarders &amp; NVOCC" sheetId="3" state="visible" r:id="rId3"/>
    <sheet xmlns:r="http://schemas.openxmlformats.org/officeDocument/2006/relationships" name="💻 Tech Platforms &amp; AI" sheetId="4" state="visible" r:id="rId4"/>
    <sheet xmlns:r="http://schemas.openxmlformats.org/officeDocument/2006/relationships" name="🚢 BCO &amp; Shippers" sheetId="5" state="visible" r:id="rId5"/>
    <sheet xmlns:r="http://schemas.openxmlformats.org/officeDocument/2006/relationships" name="🔄 Follow-ups &amp; Active Tr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,##0"/>
  </numFmts>
  <fonts count="6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1E293B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E0E0"/>
        <bgColor rgb="00E0E0E0"/>
      </patternFill>
    </fill>
    <fill>
      <patternFill patternType="solid">
        <fgColor rgb="00FCE5CD"/>
        <bgColor rgb="00FCE5CD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0E0E3"/>
        <bgColor rgb="00D0E0E3"/>
      </patternFill>
    </fill>
    <fill>
      <patternFill patternType="solid">
        <fgColor rgb="00B6D7A8"/>
        <bgColor rgb="00B6D7A8"/>
      </patternFill>
    </fill>
    <fill>
      <patternFill patternType="solid">
        <fgColor rgb="00F4CCCC"/>
        <bgColor rgb="00F4CCCC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3" fillId="11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4" fillId="12" borderId="1" pivotButton="0" quotePrefix="0" xfId="0"/>
    <xf numFmtId="0" fontId="4" fillId="12" borderId="1" applyAlignment="1" pivotButton="0" quotePrefix="0" xfId="0">
      <alignment horizontal="center"/>
    </xf>
    <xf numFmtId="164" fontId="4" fillId="12" borderId="1" applyAlignment="1" pivotButton="0" quotePrefix="0" xfId="0">
      <alignment horizontal="center"/>
    </xf>
    <xf numFmtId="165" fontId="4" fillId="12" borderId="1" applyAlignment="1" pivotButton="0" quotePrefix="0" xfId="0">
      <alignment horizontal="center"/>
    </xf>
    <xf numFmtId="0" fontId="4" fillId="7" borderId="1" pivotButton="0" quotePrefix="0" xfId="0"/>
    <xf numFmtId="0" fontId="4" fillId="8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45" customWidth="1" min="3" max="3"/>
    <col width="45" customWidth="1" min="4" max="4"/>
  </cols>
  <sheetData>
    <row r="1">
      <c r="A1" s="1" t="inlineStr">
        <is>
          <t>NAVO24 SALES PIPELINE &amp; OUTREACH SYSTEM</t>
        </is>
      </c>
      <c r="B1" t="inlineStr"/>
      <c r="C1" t="inlineStr"/>
      <c r="D1" t="inlineStr"/>
    </row>
    <row r="2"/>
    <row r="3">
      <c r="A3" s="2" t="inlineStr">
        <is>
          <t>Цветовая палитра стадий (Status Color Code)</t>
        </is>
      </c>
      <c r="B3" t="inlineStr"/>
      <c r="C3" t="inlineStr"/>
      <c r="D3" t="inlineStr"/>
    </row>
    <row r="4">
      <c r="A4" s="3" t="inlineStr">
        <is>
          <t>Образец</t>
        </is>
      </c>
      <c r="B4" s="3" t="inlineStr">
        <is>
          <t>Статус (Status ID)</t>
        </is>
      </c>
      <c r="C4" s="3" t="inlineStr">
        <is>
          <t>Когда использовать (Описание)</t>
        </is>
      </c>
      <c r="D4" s="3" t="inlineStr">
        <is>
          <t>HEX Код</t>
        </is>
      </c>
    </row>
    <row r="5">
      <c r="A5" s="4" t="inlineStr"/>
      <c r="B5" s="5" t="inlineStr">
        <is>
          <t>not_attempted</t>
        </is>
      </c>
      <c r="C5" s="6" t="inlineStr">
        <is>
          <t>Не начато — ждет первого касания</t>
        </is>
      </c>
      <c r="D5" s="6" t="inlineStr">
        <is>
          <t>#E0E0E0</t>
        </is>
      </c>
    </row>
    <row r="6">
      <c r="A6" s="7" t="inlineStr"/>
      <c r="B6" s="5" t="inlineStr">
        <is>
          <t>contacted_pending</t>
        </is>
      </c>
      <c r="C6" s="6" t="inlineStr">
        <is>
          <t>Первое касание отправлено (Email / Invite) — ждем ответ</t>
        </is>
      </c>
      <c r="D6" s="6" t="inlineStr">
        <is>
          <t>#FCE5CD</t>
        </is>
      </c>
    </row>
    <row r="7">
      <c r="A7" s="8" t="inlineStr"/>
      <c r="B7" s="5" t="inlineStr">
        <is>
          <t>connected_no_msg</t>
        </is>
      </c>
      <c r="C7" s="6" t="inlineStr">
        <is>
          <t>Инвайт принят в LI / контакт валидирован — готовим сообщение</t>
        </is>
      </c>
      <c r="D7" s="6" t="inlineStr">
        <is>
          <t>#CFE2F3</t>
        </is>
      </c>
    </row>
    <row r="8">
      <c r="A8" s="9" t="inlineStr"/>
      <c r="B8" s="5" t="inlineStr">
        <is>
          <t>messaged_no_reply</t>
        </is>
      </c>
      <c r="C8" s="6" t="inlineStr">
        <is>
          <t>Сообщение/КП отправлено — ждем ответа / ставим Follow-up</t>
        </is>
      </c>
      <c r="D8" s="6" t="inlineStr">
        <is>
          <t>#FFF2CC</t>
        </is>
      </c>
    </row>
    <row r="9">
      <c r="A9" s="10" t="inlineStr"/>
      <c r="B9" s="5" t="inlineStr">
        <is>
          <t>replied_warm</t>
        </is>
      </c>
      <c r="C9" s="6" t="inlineStr">
        <is>
          <t>Ответ получен — теплый диалог / интерес</t>
        </is>
      </c>
      <c r="D9" s="6" t="inlineStr">
        <is>
          <t>#D9EAD3</t>
        </is>
      </c>
    </row>
    <row r="10">
      <c r="A10" s="11" t="inlineStr"/>
      <c r="B10" s="5" t="inlineStr">
        <is>
          <t>trial_testing</t>
        </is>
      </c>
      <c r="C10" s="6" t="inlineStr">
        <is>
          <t>Взял Free Tier на navo24.com / тестирует контейнеры</t>
        </is>
      </c>
      <c r="D10" s="6" t="inlineStr">
        <is>
          <t>#D0E0E3</t>
        </is>
      </c>
    </row>
    <row r="11">
      <c r="A11" s="12" t="inlineStr"/>
      <c r="B11" s="5" t="inlineStr">
        <is>
          <t>closed_won</t>
        </is>
      </c>
      <c r="C11" s="6" t="inlineStr">
        <is>
          <t>Сделка закрыта (Closed Won) — оформлена подписка</t>
        </is>
      </c>
      <c r="D11" s="6" t="inlineStr">
        <is>
          <t>#B6D7A8</t>
        </is>
      </c>
    </row>
    <row r="12">
      <c r="A12" s="13" t="inlineStr"/>
      <c r="B12" s="5" t="inlineStr">
        <is>
          <t>closed_lost</t>
        </is>
      </c>
      <c r="C12" s="6" t="inlineStr">
        <is>
          <t>Отказ / не подошло (Closed Lost)</t>
        </is>
      </c>
      <c r="D12" s="6" t="inlineStr">
        <is>
          <t>#F4CCCC</t>
        </is>
      </c>
    </row>
    <row r="13"/>
    <row r="14"/>
    <row r="15">
      <c r="A15" s="2" t="inlineStr">
        <is>
          <t>Символы и маркеры качества лида</t>
        </is>
      </c>
    </row>
    <row r="16">
      <c r="A16" s="3" t="inlineStr">
        <is>
          <t>Символ</t>
        </is>
      </c>
      <c r="B16" s="3" t="inlineStr">
        <is>
          <t>Значение</t>
        </is>
      </c>
      <c r="C16" s="3" t="inlineStr">
        <is>
          <t>Примеры использования</t>
        </is>
      </c>
      <c r="D16" s="3" t="inlineStr">
        <is>
          <t>Действие</t>
        </is>
      </c>
    </row>
    <row r="17">
      <c r="A17" s="14" t="inlineStr">
        <is>
          <t>🔥</t>
        </is>
      </c>
      <c r="B17" s="5" t="inlineStr">
        <is>
          <t>Горячий интерес / Высокий объем</t>
        </is>
      </c>
      <c r="C17" s="6" t="inlineStr">
        <is>
          <t>Лид везет 1000+ TEU/мес или ищет срочную замену project44</t>
        </is>
      </c>
      <c r="D17" s="6" t="inlineStr">
        <is>
          <t>Приоритет №1: персональное КП + демо</t>
        </is>
      </c>
    </row>
    <row r="18">
      <c r="A18" s="14" t="inlineStr">
        <is>
          <t>⚡</t>
        </is>
      </c>
      <c r="B18" s="5" t="inlineStr">
        <is>
          <t>Взял Free Tier на тест</t>
        </is>
      </c>
      <c r="C18" s="6" t="inlineStr">
        <is>
          <t>Зарегистрировался на navo24.com, вбил контейнеры</t>
        </is>
      </c>
      <c r="D18" s="6" t="inlineStr">
        <is>
          <t>Follow-up через 2-3 дня с разбором результатов</t>
        </is>
      </c>
    </row>
    <row r="19">
      <c r="A19" s="14" t="inlineStr">
        <is>
          <t>⚠️</t>
        </is>
      </c>
      <c r="B19" s="5" t="inlineStr">
        <is>
          <t>Требует внимания / Дубль / Конкурент</t>
        </is>
      </c>
      <c r="C19" s="6" t="inlineStr">
        <is>
          <t>Сменил компанию, дубликат в CRM, бывший сотрудник SeaRates</t>
        </is>
      </c>
      <c r="D19" s="6" t="inlineStr">
        <is>
          <t>Уточнить актуальность контакта</t>
        </is>
      </c>
    </row>
    <row r="20">
      <c r="A20" s="14" t="inlineStr">
        <is>
          <t>❌</t>
        </is>
      </c>
      <c r="B20" s="5" t="inlineStr">
        <is>
          <t>Невалидный контакт / Отказ</t>
        </is>
      </c>
      <c r="C20" s="6" t="inlineStr">
        <is>
          <t>Email bounced, не ЛПР, ушли на долгосрочный контракт</t>
        </is>
      </c>
      <c r="D20" s="6" t="inlineStr">
        <is>
          <t>Архивировать / сменить контакт в компании</t>
        </is>
      </c>
    </row>
    <row r="21"/>
    <row r="22"/>
    <row r="23">
      <c r="A23" s="2" t="inlineStr">
        <is>
          <t>Золотые правила B2B-продаж Navo24</t>
        </is>
      </c>
    </row>
    <row r="24">
      <c r="A24" s="15" t="inlineStr">
        <is>
          <t>1. Только персональные адреса ЛПР (Reject: info@, sales@, ops@, pricing@). Пишем только Директорам, Head of Logistics, VP, CTO.</t>
        </is>
      </c>
    </row>
    <row r="25">
      <c r="A25" s="15" t="inlineStr">
        <is>
          <t>2. SeaRates Heritage: В первом касании всегда упоминаем, что Navo создан фаундерами и инженерами SeaRates — это снимает недоверие.</t>
        </is>
      </c>
    </row>
    <row r="26">
      <c r="A26" s="15" t="inlineStr">
        <is>
          <t>3. Free Tier Hook: Главный вход — бесплатный тир (5 контейнеров, 100 вызовов/мес) без кредитной карты на navo24.com.</t>
        </is>
      </c>
    </row>
    <row r="27">
      <c r="A27" s="15" t="inlineStr">
        <is>
          <t>4. Next Action Date: У КАЖДОГО активного лида в таблице ВСЕГДА должна стоять дата следующего шага (Follow-up Date).</t>
        </is>
      </c>
    </row>
    <row r="28">
      <c r="A28" s="15" t="inlineStr">
        <is>
          <t>5. Дедупликация: Перед добавлением лида всегда сверяем email и домен с общей базой CRM.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NAVO24 — СВОДНЫЙ МЕСЯЧНЫЙ ДАШБОРД АКТИВНОСТИ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/>
    <row r="3">
      <c r="A3" t="inlineStr"/>
      <c r="B3" s="3" t="inlineStr">
        <is>
          <t>EMAIL OUTREACH (19 SOURCES)</t>
        </is>
      </c>
      <c r="G3" s="3" t="inlineStr">
        <is>
          <t>LINKEDIN OUTREACH</t>
        </is>
      </c>
      <c r="L3" s="3" t="inlineStr">
        <is>
          <t>INBOUND &amp; WEBSITE</t>
        </is>
      </c>
      <c r="O3" s="3" t="inlineStr">
        <is>
          <t>TOTALS</t>
        </is>
      </c>
    </row>
    <row r="4">
      <c r="A4" s="16" t="inlineStr">
        <is>
          <t>Месяц (Month)</t>
        </is>
      </c>
      <c r="B4" s="16" t="inlineStr">
        <is>
          <t>Found</t>
        </is>
      </c>
      <c r="C4" s="16" t="inlineStr">
        <is>
          <t>Sent</t>
        </is>
      </c>
      <c r="D4" s="16" t="inlineStr">
        <is>
          <t>Replied</t>
        </is>
      </c>
      <c r="E4" s="16" t="inlineStr">
        <is>
          <t>Reply %</t>
        </is>
      </c>
      <c r="F4" s="16" t="inlineStr">
        <is>
          <t>Trials</t>
        </is>
      </c>
      <c r="G4" s="16" t="inlineStr">
        <is>
          <t>Found</t>
        </is>
      </c>
      <c r="H4" s="16" t="inlineStr">
        <is>
          <t>Sent</t>
        </is>
      </c>
      <c r="I4" s="16" t="inlineStr">
        <is>
          <t>Replied</t>
        </is>
      </c>
      <c r="J4" s="16" t="inlineStr">
        <is>
          <t>Reply %</t>
        </is>
      </c>
      <c r="K4" s="16" t="inlineStr">
        <is>
          <t>Trials</t>
        </is>
      </c>
      <c r="L4" s="16" t="inlineStr">
        <is>
          <t>Leads</t>
        </is>
      </c>
      <c r="M4" s="16" t="inlineStr">
        <is>
          <t>Trials</t>
        </is>
      </c>
      <c r="N4" s="16" t="inlineStr">
        <is>
          <t>Reply %</t>
        </is>
      </c>
      <c r="O4" s="16" t="inlineStr">
        <is>
          <t>Closed Won ($)</t>
        </is>
      </c>
    </row>
    <row r="5">
      <c r="A5" s="6" t="inlineStr">
        <is>
          <t>September 2026</t>
        </is>
      </c>
      <c r="B5" s="17" t="n">
        <v>0</v>
      </c>
      <c r="C5" s="17" t="n">
        <v>0</v>
      </c>
      <c r="D5" s="17" t="n">
        <v>0</v>
      </c>
      <c r="E5" s="18">
        <f>IF(C5&gt;0, D5/C5, 0)</f>
        <v/>
      </c>
      <c r="F5" s="17" t="n">
        <v>0</v>
      </c>
      <c r="G5" s="17" t="n">
        <v>0</v>
      </c>
      <c r="H5" s="17" t="n">
        <v>0</v>
      </c>
      <c r="I5" s="17" t="n">
        <v>0</v>
      </c>
      <c r="J5" s="18">
        <f>IF(H5&gt;0, I5/H5, 0)</f>
        <v/>
      </c>
      <c r="K5" s="17" t="n">
        <v>0</v>
      </c>
      <c r="L5" s="17" t="n">
        <v>0</v>
      </c>
      <c r="M5" s="17" t="n">
        <v>0</v>
      </c>
      <c r="N5" s="18">
        <f>IF(L5&gt;0, M5/L5, 0)</f>
        <v/>
      </c>
      <c r="O5" s="19" t="n">
        <v>0</v>
      </c>
    </row>
    <row r="6">
      <c r="A6" s="6" t="inlineStr">
        <is>
          <t>October 2026</t>
        </is>
      </c>
      <c r="B6" s="17" t="n">
        <v>0</v>
      </c>
      <c r="C6" s="17" t="n">
        <v>0</v>
      </c>
      <c r="D6" s="17" t="n">
        <v>0</v>
      </c>
      <c r="E6" s="18">
        <f>IF(C6&gt;0, D6/C6, 0)</f>
        <v/>
      </c>
      <c r="F6" s="17" t="n">
        <v>0</v>
      </c>
      <c r="G6" s="17" t="n">
        <v>0</v>
      </c>
      <c r="H6" s="17" t="n">
        <v>0</v>
      </c>
      <c r="I6" s="17" t="n">
        <v>0</v>
      </c>
      <c r="J6" s="18">
        <f>IF(H6&gt;0, I6/H6, 0)</f>
        <v/>
      </c>
      <c r="K6" s="17" t="n">
        <v>0</v>
      </c>
      <c r="L6" s="17" t="n">
        <v>0</v>
      </c>
      <c r="M6" s="17" t="n">
        <v>0</v>
      </c>
      <c r="N6" s="18">
        <f>IF(L6&gt;0, M6/L6, 0)</f>
        <v/>
      </c>
      <c r="O6" s="19" t="n">
        <v>0</v>
      </c>
    </row>
    <row r="7">
      <c r="A7" s="6" t="inlineStr">
        <is>
          <t>November 2026</t>
        </is>
      </c>
      <c r="B7" s="17" t="n">
        <v>0</v>
      </c>
      <c r="C7" s="17" t="n">
        <v>0</v>
      </c>
      <c r="D7" s="17" t="n">
        <v>0</v>
      </c>
      <c r="E7" s="18">
        <f>IF(C7&gt;0, D7/C7, 0)</f>
        <v/>
      </c>
      <c r="F7" s="17" t="n">
        <v>0</v>
      </c>
      <c r="G7" s="17" t="n">
        <v>0</v>
      </c>
      <c r="H7" s="17" t="n">
        <v>0</v>
      </c>
      <c r="I7" s="17" t="n">
        <v>0</v>
      </c>
      <c r="J7" s="18">
        <f>IF(H7&gt;0, I7/H7, 0)</f>
        <v/>
      </c>
      <c r="K7" s="17" t="n">
        <v>0</v>
      </c>
      <c r="L7" s="17" t="n">
        <v>0</v>
      </c>
      <c r="M7" s="17" t="n">
        <v>0</v>
      </c>
      <c r="N7" s="18">
        <f>IF(L7&gt;0, M7/L7, 0)</f>
        <v/>
      </c>
      <c r="O7" s="19" t="n">
        <v>0</v>
      </c>
    </row>
    <row r="8">
      <c r="A8" s="6" t="inlineStr">
        <is>
          <t>December 2026</t>
        </is>
      </c>
      <c r="B8" s="17" t="n">
        <v>0</v>
      </c>
      <c r="C8" s="17" t="n">
        <v>0</v>
      </c>
      <c r="D8" s="17" t="n">
        <v>0</v>
      </c>
      <c r="E8" s="18">
        <f>IF(C8&gt;0, D8/C8, 0)</f>
        <v/>
      </c>
      <c r="F8" s="17" t="n">
        <v>0</v>
      </c>
      <c r="G8" s="17" t="n">
        <v>0</v>
      </c>
      <c r="H8" s="17" t="n">
        <v>0</v>
      </c>
      <c r="I8" s="17" t="n">
        <v>0</v>
      </c>
      <c r="J8" s="18">
        <f>IF(H8&gt;0, I8/H8, 0)</f>
        <v/>
      </c>
      <c r="K8" s="17" t="n">
        <v>0</v>
      </c>
      <c r="L8" s="17" t="n">
        <v>0</v>
      </c>
      <c r="M8" s="17" t="n">
        <v>0</v>
      </c>
      <c r="N8" s="18">
        <f>IF(L8&gt;0, M8/L8, 0)</f>
        <v/>
      </c>
      <c r="O8" s="19" t="n">
        <v>0</v>
      </c>
    </row>
    <row r="9">
      <c r="A9" s="6" t="inlineStr">
        <is>
          <t>January 2027</t>
        </is>
      </c>
      <c r="B9" s="17" t="n">
        <v>0</v>
      </c>
      <c r="C9" s="17" t="n">
        <v>0</v>
      </c>
      <c r="D9" s="17" t="n">
        <v>0</v>
      </c>
      <c r="E9" s="18">
        <f>IF(C9&gt;0, D9/C9, 0)</f>
        <v/>
      </c>
      <c r="F9" s="17" t="n">
        <v>0</v>
      </c>
      <c r="G9" s="17" t="n">
        <v>0</v>
      </c>
      <c r="H9" s="17" t="n">
        <v>0</v>
      </c>
      <c r="I9" s="17" t="n">
        <v>0</v>
      </c>
      <c r="J9" s="18">
        <f>IF(H9&gt;0, I9/H9, 0)</f>
        <v/>
      </c>
      <c r="K9" s="17" t="n">
        <v>0</v>
      </c>
      <c r="L9" s="17" t="n">
        <v>0</v>
      </c>
      <c r="M9" s="17" t="n">
        <v>0</v>
      </c>
      <c r="N9" s="18">
        <f>IF(L9&gt;0, M9/L9, 0)</f>
        <v/>
      </c>
      <c r="O9" s="19" t="n">
        <v>0</v>
      </c>
    </row>
    <row r="10">
      <c r="A10" s="6" t="inlineStr">
        <is>
          <t>February 2027</t>
        </is>
      </c>
      <c r="B10" s="17" t="n">
        <v>0</v>
      </c>
      <c r="C10" s="17" t="n">
        <v>0</v>
      </c>
      <c r="D10" s="17" t="n">
        <v>0</v>
      </c>
      <c r="E10" s="18">
        <f>IF(C10&gt;0, D10/C10, 0)</f>
        <v/>
      </c>
      <c r="F10" s="17" t="n">
        <v>0</v>
      </c>
      <c r="G10" s="17" t="n">
        <v>0</v>
      </c>
      <c r="H10" s="17" t="n">
        <v>0</v>
      </c>
      <c r="I10" s="17" t="n">
        <v>0</v>
      </c>
      <c r="J10" s="18">
        <f>IF(H10&gt;0, I10/H10, 0)</f>
        <v/>
      </c>
      <c r="K10" s="17" t="n">
        <v>0</v>
      </c>
      <c r="L10" s="17" t="n">
        <v>0</v>
      </c>
      <c r="M10" s="17" t="n">
        <v>0</v>
      </c>
      <c r="N10" s="18">
        <f>IF(L10&gt;0, M10/L10, 0)</f>
        <v/>
      </c>
      <c r="O10" s="19" t="n">
        <v>0</v>
      </c>
    </row>
    <row r="11">
      <c r="A11" s="20" t="inlineStr">
        <is>
          <t>ИТОГО / TOTAL</t>
        </is>
      </c>
      <c r="B11" s="21">
        <f>SUM(B5:B10)</f>
        <v/>
      </c>
      <c r="C11" s="21">
        <f>SUM(C5:C10)</f>
        <v/>
      </c>
      <c r="D11" s="21">
        <f>SUM(D5:D10)</f>
        <v/>
      </c>
      <c r="E11" s="22">
        <f>IF(C11&gt;0, D11/C11, 0)</f>
        <v/>
      </c>
      <c r="F11" s="21">
        <f>SUM(F5:F10)</f>
        <v/>
      </c>
      <c r="G11" s="21">
        <f>SUM(G5:G10)</f>
        <v/>
      </c>
      <c r="H11" s="21">
        <f>SUM(H5:H10)</f>
        <v/>
      </c>
      <c r="I11" s="21">
        <f>SUM(I5:I10)</f>
        <v/>
      </c>
      <c r="J11" s="22">
        <f>IF(H11&gt;0, I11/H11, 0)</f>
        <v/>
      </c>
      <c r="K11" s="21">
        <f>SUM(K5:K10)</f>
        <v/>
      </c>
      <c r="L11" s="21">
        <f>SUM(L5:L10)</f>
        <v/>
      </c>
      <c r="M11" s="21">
        <f>SUM(M5:M10)</f>
        <v/>
      </c>
      <c r="N11" s="22">
        <f>IF(L11&gt;0, M11/L11, 0)</f>
        <v/>
      </c>
      <c r="O11" s="23">
        <f>SUM(O5:O10)</f>
        <v/>
      </c>
    </row>
  </sheetData>
  <mergeCells count="3">
    <mergeCell ref="G3:K3"/>
    <mergeCell ref="L3:N3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2" customWidth="1" min="4" max="4"/>
    <col width="17" customWidth="1" min="5" max="5"/>
    <col width="31" customWidth="1" min="6" max="6"/>
    <col width="30" customWidth="1" min="7" max="7"/>
    <col width="39" customWidth="1" min="8" max="8"/>
    <col width="24" customWidth="1" min="9" max="9"/>
    <col width="33" customWidth="1" min="10" max="10"/>
    <col width="19" customWidth="1" min="11" max="11"/>
    <col width="18" customWidth="1" min="12" max="12"/>
    <col width="19" customWidth="1" min="13" max="13"/>
    <col width="45" customWidth="1" min="14" max="14"/>
    <col width="45" customWidth="1" min="15" max="15"/>
  </cols>
  <sheetData>
    <row r="1">
      <c r="A1" s="3" t="inlineStr">
        <is>
          <t>Status</t>
        </is>
      </c>
      <c r="B1" s="3" t="inlineStr">
        <is>
          <t>Sym</t>
        </is>
      </c>
      <c r="C1" s="3" t="inlineStr">
        <is>
          <t>Company Name</t>
        </is>
      </c>
      <c r="D1" s="3" t="inlineStr">
        <is>
          <t>Country</t>
        </is>
      </c>
      <c r="E1" s="3" t="inlineStr">
        <is>
          <t>Contact Person</t>
        </is>
      </c>
      <c r="F1" s="3" t="inlineStr">
        <is>
          <t>Job Title</t>
        </is>
      </c>
      <c r="G1" s="3" t="inlineStr">
        <is>
          <t>Email (Personal ЛПР)</t>
        </is>
      </c>
      <c r="H1" s="3" t="inlineStr">
        <is>
          <t>LinkedIn / Website</t>
        </is>
      </c>
      <c r="I1" s="3" t="inlineStr">
        <is>
          <t>Product Interest</t>
        </is>
      </c>
      <c r="J1" s="3" t="inlineStr">
        <is>
          <t>Source Platform</t>
        </is>
      </c>
      <c r="K1" s="3" t="inlineStr">
        <is>
          <t>First Touch Date</t>
        </is>
      </c>
      <c r="L1" s="3" t="inlineStr">
        <is>
          <t>Last Touch Date</t>
        </is>
      </c>
      <c r="M1" s="3" t="inlineStr">
        <is>
          <t>Next Action Date</t>
        </is>
      </c>
      <c r="N1" s="3" t="inlineStr">
        <is>
          <t>Stage Details / Client Notes</t>
        </is>
      </c>
      <c r="O1" s="3" t="inlineStr">
        <is>
          <t>Next Step Action</t>
        </is>
      </c>
    </row>
    <row r="2">
      <c r="A2" s="24" t="inlineStr">
        <is>
          <t>replied_warm</t>
        </is>
      </c>
      <c r="B2" s="17" t="inlineStr">
        <is>
          <t>🔥</t>
        </is>
      </c>
      <c r="C2" s="6" t="inlineStr">
        <is>
          <t>Atlantic Ocean Lines</t>
        </is>
      </c>
      <c r="D2" s="6" t="inlineStr">
        <is>
          <t>Canada</t>
        </is>
      </c>
      <c r="E2" s="6" t="inlineStr">
        <is>
          <t>Marc Tremblay</t>
        </is>
      </c>
      <c r="F2" s="6" t="inlineStr">
        <is>
          <t>VP of Logistics &amp; Operations</t>
        </is>
      </c>
      <c r="G2" s="6" t="inlineStr">
        <is>
          <t>m.tremblay@atlanticocean.ca</t>
        </is>
      </c>
      <c r="H2" s="6" t="inlineStr">
        <is>
          <t>https://linkedin.com/in/marctremblay</t>
        </is>
      </c>
      <c r="I2" s="6" t="inlineStr">
        <is>
          <t>Tracking + Schedules</t>
        </is>
      </c>
      <c r="J2" s="6" t="inlineStr">
        <is>
          <t>CIFFA (Canada)</t>
        </is>
      </c>
      <c r="K2" s="6" t="inlineStr">
        <is>
          <t>2026-09-01</t>
        </is>
      </c>
      <c r="L2" s="6" t="inlineStr">
        <is>
          <t>2026-09-02</t>
        </is>
      </c>
      <c r="M2" s="6" t="inlineStr">
        <is>
          <t>2026-09-04</t>
        </is>
      </c>
      <c r="N2" s="6" t="inlineStr">
        <is>
          <t>Ответил на cold email. Заинтересован в D&amp;D Free-Time расчете для портов Ванкувер/Монреаль.</t>
        </is>
      </c>
      <c r="O2" s="6" t="inlineStr">
        <is>
          <t>Отправить точечный расчет по 3 их контейнерам MSC + демо-доступ</t>
        </is>
      </c>
    </row>
    <row r="3">
      <c r="A3" s="25" t="inlineStr">
        <is>
          <t>trial_testing</t>
        </is>
      </c>
      <c r="B3" s="17" t="inlineStr">
        <is>
          <t>⚡</t>
        </is>
      </c>
      <c r="C3" s="6" t="inlineStr">
        <is>
          <t>Global Forwarding Hub</t>
        </is>
      </c>
      <c r="D3" s="6" t="inlineStr">
        <is>
          <t>Germany</t>
        </is>
      </c>
      <c r="E3" s="6" t="inlineStr">
        <is>
          <t>Hans Gruber</t>
        </is>
      </c>
      <c r="F3" s="6" t="inlineStr">
        <is>
          <t>Head of Ocean Freight</t>
        </is>
      </c>
      <c r="G3" s="6" t="inlineStr">
        <is>
          <t>h.gruber@g-forwarding.de</t>
        </is>
      </c>
      <c r="H3" s="6" t="inlineStr">
        <is>
          <t>https://linkedin.com/in/hansgruber</t>
        </is>
      </c>
      <c r="I3" s="6" t="inlineStr">
        <is>
          <t>Tracking API</t>
        </is>
      </c>
      <c r="J3" s="6" t="inlineStr">
        <is>
          <t>DFA (Digital Freight Alliance)</t>
        </is>
      </c>
      <c r="K3" s="6" t="inlineStr">
        <is>
          <t>2026-08-28</t>
        </is>
      </c>
      <c r="L3" s="6" t="inlineStr">
        <is>
          <t>2026-08-30</t>
        </is>
      </c>
      <c r="M3" s="6" t="inlineStr">
        <is>
          <t>2026-09-03</t>
        </is>
      </c>
      <c r="N3" s="6" t="inlineStr">
        <is>
          <t>Взял Free Tier на navo24.com. Подключил 4 контейнера Hapag-Lloyd.</t>
        </is>
      </c>
      <c r="O3" s="6" t="inlineStr">
        <is>
          <t>Follow-up по результатам теста, предложить расчет подписки на 500 TEU</t>
        </is>
      </c>
    </row>
    <row r="4">
      <c r="A4" s="26" t="inlineStr">
        <is>
          <t>contacted_pending</t>
        </is>
      </c>
      <c r="B4" s="17" t="inlineStr"/>
      <c r="C4" s="6" t="inlineStr">
        <is>
          <t>Apex Logistics Int</t>
        </is>
      </c>
      <c r="D4" s="6" t="inlineStr">
        <is>
          <t>USA</t>
        </is>
      </c>
      <c r="E4" s="6" t="inlineStr">
        <is>
          <t>Sarah Jenkins</t>
        </is>
      </c>
      <c r="F4" s="6" t="inlineStr">
        <is>
          <t>Director of Supply Chain</t>
        </is>
      </c>
      <c r="G4" s="6" t="inlineStr">
        <is>
          <t>sjenkins@apexlogistics.com</t>
        </is>
      </c>
      <c r="H4" s="6" t="inlineStr">
        <is>
          <t>https://apexlogistics.com</t>
        </is>
      </c>
      <c r="I4" s="6" t="inlineStr">
        <is>
          <t>Tracking + 3D Loading</t>
        </is>
      </c>
      <c r="J4" s="6" t="inlineStr">
        <is>
          <t>ThomasNet (USA)</t>
        </is>
      </c>
      <c r="K4" s="6" t="inlineStr">
        <is>
          <t>2026-09-02</t>
        </is>
      </c>
      <c r="L4" s="6" t="inlineStr">
        <is>
          <t>2026-09-02</t>
        </is>
      </c>
      <c r="M4" s="6" t="inlineStr">
        <is>
          <t>2026-09-05</t>
        </is>
      </c>
      <c r="N4" s="6" t="inlineStr">
        <is>
          <t>Отправлено первое персонализированное письмо с фокусом на SeaRates heritage.</t>
        </is>
      </c>
      <c r="O4" s="6" t="inlineStr">
        <is>
          <t>Follow-up #1 с кейсом оптимизации загрузки контейнеров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2" customWidth="1" min="4" max="4"/>
    <col width="17" customWidth="1" min="5" max="5"/>
    <col width="31" customWidth="1" min="6" max="6"/>
    <col width="30" customWidth="1" min="7" max="7"/>
    <col width="39" customWidth="1" min="8" max="8"/>
    <col width="24" customWidth="1" min="9" max="9"/>
    <col width="33" customWidth="1" min="10" max="10"/>
    <col width="19" customWidth="1" min="11" max="11"/>
    <col width="18" customWidth="1" min="12" max="12"/>
    <col width="19" customWidth="1" min="13" max="13"/>
    <col width="45" customWidth="1" min="14" max="14"/>
    <col width="45" customWidth="1" min="15" max="15"/>
  </cols>
  <sheetData>
    <row r="1">
      <c r="A1" s="3" t="inlineStr">
        <is>
          <t>Status</t>
        </is>
      </c>
      <c r="B1" s="3" t="inlineStr">
        <is>
          <t>Sym</t>
        </is>
      </c>
      <c r="C1" s="3" t="inlineStr">
        <is>
          <t>Company Name</t>
        </is>
      </c>
      <c r="D1" s="3" t="inlineStr">
        <is>
          <t>Country</t>
        </is>
      </c>
      <c r="E1" s="3" t="inlineStr">
        <is>
          <t>Contact Person</t>
        </is>
      </c>
      <c r="F1" s="3" t="inlineStr">
        <is>
          <t>Job Title</t>
        </is>
      </c>
      <c r="G1" s="3" t="inlineStr">
        <is>
          <t>Email (Personal ЛПР)</t>
        </is>
      </c>
      <c r="H1" s="3" t="inlineStr">
        <is>
          <t>LinkedIn / Website</t>
        </is>
      </c>
      <c r="I1" s="3" t="inlineStr">
        <is>
          <t>Product Interest</t>
        </is>
      </c>
      <c r="J1" s="3" t="inlineStr">
        <is>
          <t>Source Platform</t>
        </is>
      </c>
      <c r="K1" s="3" t="inlineStr">
        <is>
          <t>First Touch Date</t>
        </is>
      </c>
      <c r="L1" s="3" t="inlineStr">
        <is>
          <t>Last Touch Date</t>
        </is>
      </c>
      <c r="M1" s="3" t="inlineStr">
        <is>
          <t>Next Action Date</t>
        </is>
      </c>
      <c r="N1" s="3" t="inlineStr">
        <is>
          <t>Stage Details / Client Notes</t>
        </is>
      </c>
      <c r="O1" s="3" t="inlineStr">
        <is>
          <t>Next Step Action</t>
        </is>
      </c>
    </row>
    <row r="2">
      <c r="A2" s="24" t="inlineStr">
        <is>
          <t>replied_warm</t>
        </is>
      </c>
      <c r="B2" s="17" t="inlineStr">
        <is>
          <t>🔥</t>
        </is>
      </c>
      <c r="C2" s="6" t="inlineStr">
        <is>
          <t>Atlantic Ocean Lines</t>
        </is>
      </c>
      <c r="D2" s="6" t="inlineStr">
        <is>
          <t>Canada</t>
        </is>
      </c>
      <c r="E2" s="6" t="inlineStr">
        <is>
          <t>Marc Tremblay</t>
        </is>
      </c>
      <c r="F2" s="6" t="inlineStr">
        <is>
          <t>VP of Logistics &amp; Operations</t>
        </is>
      </c>
      <c r="G2" s="6" t="inlineStr">
        <is>
          <t>m.tremblay@atlanticocean.ca</t>
        </is>
      </c>
      <c r="H2" s="6" t="inlineStr">
        <is>
          <t>https://linkedin.com/in/marctremblay</t>
        </is>
      </c>
      <c r="I2" s="6" t="inlineStr">
        <is>
          <t>Tracking + Schedules</t>
        </is>
      </c>
      <c r="J2" s="6" t="inlineStr">
        <is>
          <t>CIFFA (Canada)</t>
        </is>
      </c>
      <c r="K2" s="6" t="inlineStr">
        <is>
          <t>2026-09-01</t>
        </is>
      </c>
      <c r="L2" s="6" t="inlineStr">
        <is>
          <t>2026-09-02</t>
        </is>
      </c>
      <c r="M2" s="6" t="inlineStr">
        <is>
          <t>2026-09-04</t>
        </is>
      </c>
      <c r="N2" s="6" t="inlineStr">
        <is>
          <t>Ответил на cold email. Заинтересован в D&amp;D Free-Time расчете для портов Ванкувер/Монреаль.</t>
        </is>
      </c>
      <c r="O2" s="6" t="inlineStr">
        <is>
          <t>Отправить точечный расчет по 3 их контейнерам MSC + демо-доступ</t>
        </is>
      </c>
    </row>
    <row r="3">
      <c r="A3" s="25" t="inlineStr">
        <is>
          <t>trial_testing</t>
        </is>
      </c>
      <c r="B3" s="17" t="inlineStr">
        <is>
          <t>⚡</t>
        </is>
      </c>
      <c r="C3" s="6" t="inlineStr">
        <is>
          <t>Global Forwarding Hub</t>
        </is>
      </c>
      <c r="D3" s="6" t="inlineStr">
        <is>
          <t>Germany</t>
        </is>
      </c>
      <c r="E3" s="6" t="inlineStr">
        <is>
          <t>Hans Gruber</t>
        </is>
      </c>
      <c r="F3" s="6" t="inlineStr">
        <is>
          <t>Head of Ocean Freight</t>
        </is>
      </c>
      <c r="G3" s="6" t="inlineStr">
        <is>
          <t>h.gruber@g-forwarding.de</t>
        </is>
      </c>
      <c r="H3" s="6" t="inlineStr">
        <is>
          <t>https://linkedin.com/in/hansgruber</t>
        </is>
      </c>
      <c r="I3" s="6" t="inlineStr">
        <is>
          <t>Tracking API</t>
        </is>
      </c>
      <c r="J3" s="6" t="inlineStr">
        <is>
          <t>DFA (Digital Freight Alliance)</t>
        </is>
      </c>
      <c r="K3" s="6" t="inlineStr">
        <is>
          <t>2026-08-28</t>
        </is>
      </c>
      <c r="L3" s="6" t="inlineStr">
        <is>
          <t>2026-08-30</t>
        </is>
      </c>
      <c r="M3" s="6" t="inlineStr">
        <is>
          <t>2026-09-03</t>
        </is>
      </c>
      <c r="N3" s="6" t="inlineStr">
        <is>
          <t>Взял Free Tier на navo24.com. Подключил 4 контейнера Hapag-Lloyd.</t>
        </is>
      </c>
      <c r="O3" s="6" t="inlineStr">
        <is>
          <t>Follow-up по результатам теста, предложить расчет подписки на 500 TEU</t>
        </is>
      </c>
    </row>
    <row r="4">
      <c r="A4" s="26" t="inlineStr">
        <is>
          <t>contacted_pending</t>
        </is>
      </c>
      <c r="B4" s="17" t="inlineStr"/>
      <c r="C4" s="6" t="inlineStr">
        <is>
          <t>Apex Logistics Int</t>
        </is>
      </c>
      <c r="D4" s="6" t="inlineStr">
        <is>
          <t>USA</t>
        </is>
      </c>
      <c r="E4" s="6" t="inlineStr">
        <is>
          <t>Sarah Jenkins</t>
        </is>
      </c>
      <c r="F4" s="6" t="inlineStr">
        <is>
          <t>Director of Supply Chain</t>
        </is>
      </c>
      <c r="G4" s="6" t="inlineStr">
        <is>
          <t>sjenkins@apexlogistics.com</t>
        </is>
      </c>
      <c r="H4" s="6" t="inlineStr">
        <is>
          <t>https://apexlogistics.com</t>
        </is>
      </c>
      <c r="I4" s="6" t="inlineStr">
        <is>
          <t>Tracking + 3D Loading</t>
        </is>
      </c>
      <c r="J4" s="6" t="inlineStr">
        <is>
          <t>ThomasNet (USA)</t>
        </is>
      </c>
      <c r="K4" s="6" t="inlineStr">
        <is>
          <t>2026-09-02</t>
        </is>
      </c>
      <c r="L4" s="6" t="inlineStr">
        <is>
          <t>2026-09-02</t>
        </is>
      </c>
      <c r="M4" s="6" t="inlineStr">
        <is>
          <t>2026-09-05</t>
        </is>
      </c>
      <c r="N4" s="6" t="inlineStr">
        <is>
          <t>Отправлено первое персонализированное письмо с фокусом на SeaRates heritage.</t>
        </is>
      </c>
      <c r="O4" s="6" t="inlineStr">
        <is>
          <t>Follow-up #1 с кейсом оптимизации загрузки контейнеров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2" customWidth="1" min="4" max="4"/>
    <col width="17" customWidth="1" min="5" max="5"/>
    <col width="31" customWidth="1" min="6" max="6"/>
    <col width="30" customWidth="1" min="7" max="7"/>
    <col width="39" customWidth="1" min="8" max="8"/>
    <col width="24" customWidth="1" min="9" max="9"/>
    <col width="33" customWidth="1" min="10" max="10"/>
    <col width="19" customWidth="1" min="11" max="11"/>
    <col width="18" customWidth="1" min="12" max="12"/>
    <col width="19" customWidth="1" min="13" max="13"/>
    <col width="45" customWidth="1" min="14" max="14"/>
    <col width="45" customWidth="1" min="15" max="15"/>
  </cols>
  <sheetData>
    <row r="1">
      <c r="A1" s="3" t="inlineStr">
        <is>
          <t>Status</t>
        </is>
      </c>
      <c r="B1" s="3" t="inlineStr">
        <is>
          <t>Sym</t>
        </is>
      </c>
      <c r="C1" s="3" t="inlineStr">
        <is>
          <t>Company Name</t>
        </is>
      </c>
      <c r="D1" s="3" t="inlineStr">
        <is>
          <t>Country</t>
        </is>
      </c>
      <c r="E1" s="3" t="inlineStr">
        <is>
          <t>Contact Person</t>
        </is>
      </c>
      <c r="F1" s="3" t="inlineStr">
        <is>
          <t>Job Title</t>
        </is>
      </c>
      <c r="G1" s="3" t="inlineStr">
        <is>
          <t>Email (Personal ЛПР)</t>
        </is>
      </c>
      <c r="H1" s="3" t="inlineStr">
        <is>
          <t>LinkedIn / Website</t>
        </is>
      </c>
      <c r="I1" s="3" t="inlineStr">
        <is>
          <t>Product Interest</t>
        </is>
      </c>
      <c r="J1" s="3" t="inlineStr">
        <is>
          <t>Source Platform</t>
        </is>
      </c>
      <c r="K1" s="3" t="inlineStr">
        <is>
          <t>First Touch Date</t>
        </is>
      </c>
      <c r="L1" s="3" t="inlineStr">
        <is>
          <t>Last Touch Date</t>
        </is>
      </c>
      <c r="M1" s="3" t="inlineStr">
        <is>
          <t>Next Action Date</t>
        </is>
      </c>
      <c r="N1" s="3" t="inlineStr">
        <is>
          <t>Stage Details / Client Notes</t>
        </is>
      </c>
      <c r="O1" s="3" t="inlineStr">
        <is>
          <t>Next Step Action</t>
        </is>
      </c>
    </row>
    <row r="2">
      <c r="A2" s="24" t="inlineStr">
        <is>
          <t>replied_warm</t>
        </is>
      </c>
      <c r="B2" s="17" t="inlineStr">
        <is>
          <t>🔥</t>
        </is>
      </c>
      <c r="C2" s="6" t="inlineStr">
        <is>
          <t>Atlantic Ocean Lines</t>
        </is>
      </c>
      <c r="D2" s="6" t="inlineStr">
        <is>
          <t>Canada</t>
        </is>
      </c>
      <c r="E2" s="6" t="inlineStr">
        <is>
          <t>Marc Tremblay</t>
        </is>
      </c>
      <c r="F2" s="6" t="inlineStr">
        <is>
          <t>VP of Logistics &amp; Operations</t>
        </is>
      </c>
      <c r="G2" s="6" t="inlineStr">
        <is>
          <t>m.tremblay@atlanticocean.ca</t>
        </is>
      </c>
      <c r="H2" s="6" t="inlineStr">
        <is>
          <t>https://linkedin.com/in/marctremblay</t>
        </is>
      </c>
      <c r="I2" s="6" t="inlineStr">
        <is>
          <t>Tracking + Schedules</t>
        </is>
      </c>
      <c r="J2" s="6" t="inlineStr">
        <is>
          <t>CIFFA (Canada)</t>
        </is>
      </c>
      <c r="K2" s="6" t="inlineStr">
        <is>
          <t>2026-09-01</t>
        </is>
      </c>
      <c r="L2" s="6" t="inlineStr">
        <is>
          <t>2026-09-02</t>
        </is>
      </c>
      <c r="M2" s="6" t="inlineStr">
        <is>
          <t>2026-09-04</t>
        </is>
      </c>
      <c r="N2" s="6" t="inlineStr">
        <is>
          <t>Ответил на cold email. Заинтересован в D&amp;D Free-Time расчете для портов Ванкувер/Монреаль.</t>
        </is>
      </c>
      <c r="O2" s="6" t="inlineStr">
        <is>
          <t>Отправить точечный расчет по 3 их контейнерам MSC + демо-доступ</t>
        </is>
      </c>
    </row>
    <row r="3">
      <c r="A3" s="25" t="inlineStr">
        <is>
          <t>trial_testing</t>
        </is>
      </c>
      <c r="B3" s="17" t="inlineStr">
        <is>
          <t>⚡</t>
        </is>
      </c>
      <c r="C3" s="6" t="inlineStr">
        <is>
          <t>Global Forwarding Hub</t>
        </is>
      </c>
      <c r="D3" s="6" t="inlineStr">
        <is>
          <t>Germany</t>
        </is>
      </c>
      <c r="E3" s="6" t="inlineStr">
        <is>
          <t>Hans Gruber</t>
        </is>
      </c>
      <c r="F3" s="6" t="inlineStr">
        <is>
          <t>Head of Ocean Freight</t>
        </is>
      </c>
      <c r="G3" s="6" t="inlineStr">
        <is>
          <t>h.gruber@g-forwarding.de</t>
        </is>
      </c>
      <c r="H3" s="6" t="inlineStr">
        <is>
          <t>https://linkedin.com/in/hansgruber</t>
        </is>
      </c>
      <c r="I3" s="6" t="inlineStr">
        <is>
          <t>Tracking API</t>
        </is>
      </c>
      <c r="J3" s="6" t="inlineStr">
        <is>
          <t>DFA (Digital Freight Alliance)</t>
        </is>
      </c>
      <c r="K3" s="6" t="inlineStr">
        <is>
          <t>2026-08-28</t>
        </is>
      </c>
      <c r="L3" s="6" t="inlineStr">
        <is>
          <t>2026-08-30</t>
        </is>
      </c>
      <c r="M3" s="6" t="inlineStr">
        <is>
          <t>2026-09-03</t>
        </is>
      </c>
      <c r="N3" s="6" t="inlineStr">
        <is>
          <t>Взял Free Tier на navo24.com. Подключил 4 контейнера Hapag-Lloyd.</t>
        </is>
      </c>
      <c r="O3" s="6" t="inlineStr">
        <is>
          <t>Follow-up по результатам теста, предложить расчет подписки на 500 TEU</t>
        </is>
      </c>
    </row>
    <row r="4">
      <c r="A4" s="26" t="inlineStr">
        <is>
          <t>contacted_pending</t>
        </is>
      </c>
      <c r="B4" s="17" t="inlineStr"/>
      <c r="C4" s="6" t="inlineStr">
        <is>
          <t>Apex Logistics Int</t>
        </is>
      </c>
      <c r="D4" s="6" t="inlineStr">
        <is>
          <t>USA</t>
        </is>
      </c>
      <c r="E4" s="6" t="inlineStr">
        <is>
          <t>Sarah Jenkins</t>
        </is>
      </c>
      <c r="F4" s="6" t="inlineStr">
        <is>
          <t>Director of Supply Chain</t>
        </is>
      </c>
      <c r="G4" s="6" t="inlineStr">
        <is>
          <t>sjenkins@apexlogistics.com</t>
        </is>
      </c>
      <c r="H4" s="6" t="inlineStr">
        <is>
          <t>https://apexlogistics.com</t>
        </is>
      </c>
      <c r="I4" s="6" t="inlineStr">
        <is>
          <t>Tracking + 3D Loading</t>
        </is>
      </c>
      <c r="J4" s="6" t="inlineStr">
        <is>
          <t>ThomasNet (USA)</t>
        </is>
      </c>
      <c r="K4" s="6" t="inlineStr">
        <is>
          <t>2026-09-02</t>
        </is>
      </c>
      <c r="L4" s="6" t="inlineStr">
        <is>
          <t>2026-09-02</t>
        </is>
      </c>
      <c r="M4" s="6" t="inlineStr">
        <is>
          <t>2026-09-05</t>
        </is>
      </c>
      <c r="N4" s="6" t="inlineStr">
        <is>
          <t>Отправлено первое персонализированное письмо с фокусом на SeaRates heritage.</t>
        </is>
      </c>
      <c r="O4" s="6" t="inlineStr">
        <is>
          <t>Follow-up #1 с кейсом оптимизации загрузки контейнеров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12" customWidth="1" min="4" max="4"/>
    <col width="17" customWidth="1" min="5" max="5"/>
    <col width="31" customWidth="1" min="6" max="6"/>
    <col width="30" customWidth="1" min="7" max="7"/>
    <col width="39" customWidth="1" min="8" max="8"/>
    <col width="24" customWidth="1" min="9" max="9"/>
    <col width="33" customWidth="1" min="10" max="10"/>
    <col width="19" customWidth="1" min="11" max="11"/>
    <col width="18" customWidth="1" min="12" max="12"/>
    <col width="19" customWidth="1" min="13" max="13"/>
    <col width="45" customWidth="1" min="14" max="14"/>
    <col width="45" customWidth="1" min="15" max="15"/>
  </cols>
  <sheetData>
    <row r="1">
      <c r="A1" s="3" t="inlineStr">
        <is>
          <t>Status</t>
        </is>
      </c>
      <c r="B1" s="3" t="inlineStr">
        <is>
          <t>Sym</t>
        </is>
      </c>
      <c r="C1" s="3" t="inlineStr">
        <is>
          <t>Company Name</t>
        </is>
      </c>
      <c r="D1" s="3" t="inlineStr">
        <is>
          <t>Country</t>
        </is>
      </c>
      <c r="E1" s="3" t="inlineStr">
        <is>
          <t>Contact Person</t>
        </is>
      </c>
      <c r="F1" s="3" t="inlineStr">
        <is>
          <t>Job Title</t>
        </is>
      </c>
      <c r="G1" s="3" t="inlineStr">
        <is>
          <t>Email (Personal ЛПР)</t>
        </is>
      </c>
      <c r="H1" s="3" t="inlineStr">
        <is>
          <t>LinkedIn / Website</t>
        </is>
      </c>
      <c r="I1" s="3" t="inlineStr">
        <is>
          <t>Product Interest</t>
        </is>
      </c>
      <c r="J1" s="3" t="inlineStr">
        <is>
          <t>Source Platform</t>
        </is>
      </c>
      <c r="K1" s="3" t="inlineStr">
        <is>
          <t>First Touch Date</t>
        </is>
      </c>
      <c r="L1" s="3" t="inlineStr">
        <is>
          <t>Last Touch Date</t>
        </is>
      </c>
      <c r="M1" s="3" t="inlineStr">
        <is>
          <t>Next Action Date</t>
        </is>
      </c>
      <c r="N1" s="3" t="inlineStr">
        <is>
          <t>Stage Details / Client Notes</t>
        </is>
      </c>
      <c r="O1" s="3" t="inlineStr">
        <is>
          <t>Next Step Action</t>
        </is>
      </c>
    </row>
    <row r="2">
      <c r="A2" s="24" t="inlineStr">
        <is>
          <t>replied_warm</t>
        </is>
      </c>
      <c r="B2" s="17" t="inlineStr">
        <is>
          <t>🔥</t>
        </is>
      </c>
      <c r="C2" s="6" t="inlineStr">
        <is>
          <t>Atlantic Ocean Lines</t>
        </is>
      </c>
      <c r="D2" s="6" t="inlineStr">
        <is>
          <t>Canada</t>
        </is>
      </c>
      <c r="E2" s="6" t="inlineStr">
        <is>
          <t>Marc Tremblay</t>
        </is>
      </c>
      <c r="F2" s="6" t="inlineStr">
        <is>
          <t>VP of Logistics &amp; Operations</t>
        </is>
      </c>
      <c r="G2" s="6" t="inlineStr">
        <is>
          <t>m.tremblay@atlanticocean.ca</t>
        </is>
      </c>
      <c r="H2" s="6" t="inlineStr">
        <is>
          <t>https://linkedin.com/in/marctremblay</t>
        </is>
      </c>
      <c r="I2" s="6" t="inlineStr">
        <is>
          <t>Tracking + Schedules</t>
        </is>
      </c>
      <c r="J2" s="6" t="inlineStr">
        <is>
          <t>CIFFA (Canada)</t>
        </is>
      </c>
      <c r="K2" s="6" t="inlineStr">
        <is>
          <t>2026-09-01</t>
        </is>
      </c>
      <c r="L2" s="6" t="inlineStr">
        <is>
          <t>2026-09-02</t>
        </is>
      </c>
      <c r="M2" s="6" t="inlineStr">
        <is>
          <t>2026-09-04</t>
        </is>
      </c>
      <c r="N2" s="6" t="inlineStr">
        <is>
          <t>Ответил на cold email. Заинтересован в D&amp;D Free-Time расчете для портов Ванкувер/Монреаль.</t>
        </is>
      </c>
      <c r="O2" s="6" t="inlineStr">
        <is>
          <t>Отправить точечный расчет по 3 их контейнерам MSC + демо-доступ</t>
        </is>
      </c>
    </row>
    <row r="3">
      <c r="A3" s="25" t="inlineStr">
        <is>
          <t>trial_testing</t>
        </is>
      </c>
      <c r="B3" s="17" t="inlineStr">
        <is>
          <t>⚡</t>
        </is>
      </c>
      <c r="C3" s="6" t="inlineStr">
        <is>
          <t>Global Forwarding Hub</t>
        </is>
      </c>
      <c r="D3" s="6" t="inlineStr">
        <is>
          <t>Germany</t>
        </is>
      </c>
      <c r="E3" s="6" t="inlineStr">
        <is>
          <t>Hans Gruber</t>
        </is>
      </c>
      <c r="F3" s="6" t="inlineStr">
        <is>
          <t>Head of Ocean Freight</t>
        </is>
      </c>
      <c r="G3" s="6" t="inlineStr">
        <is>
          <t>h.gruber@g-forwarding.de</t>
        </is>
      </c>
      <c r="H3" s="6" t="inlineStr">
        <is>
          <t>https://linkedin.com/in/hansgruber</t>
        </is>
      </c>
      <c r="I3" s="6" t="inlineStr">
        <is>
          <t>Tracking API</t>
        </is>
      </c>
      <c r="J3" s="6" t="inlineStr">
        <is>
          <t>DFA (Digital Freight Alliance)</t>
        </is>
      </c>
      <c r="K3" s="6" t="inlineStr">
        <is>
          <t>2026-08-28</t>
        </is>
      </c>
      <c r="L3" s="6" t="inlineStr">
        <is>
          <t>2026-08-30</t>
        </is>
      </c>
      <c r="M3" s="6" t="inlineStr">
        <is>
          <t>2026-09-03</t>
        </is>
      </c>
      <c r="N3" s="6" t="inlineStr">
        <is>
          <t>Взял Free Tier на navo24.com. Подключил 4 контейнера Hapag-Lloyd.</t>
        </is>
      </c>
      <c r="O3" s="6" t="inlineStr">
        <is>
          <t>Follow-up по результатам теста, предложить расчет подписки на 500 TEU</t>
        </is>
      </c>
    </row>
    <row r="4">
      <c r="A4" s="26" t="inlineStr">
        <is>
          <t>contacted_pending</t>
        </is>
      </c>
      <c r="B4" s="17" t="inlineStr"/>
      <c r="C4" s="6" t="inlineStr">
        <is>
          <t>Apex Logistics Int</t>
        </is>
      </c>
      <c r="D4" s="6" t="inlineStr">
        <is>
          <t>USA</t>
        </is>
      </c>
      <c r="E4" s="6" t="inlineStr">
        <is>
          <t>Sarah Jenkins</t>
        </is>
      </c>
      <c r="F4" s="6" t="inlineStr">
        <is>
          <t>Director of Supply Chain</t>
        </is>
      </c>
      <c r="G4" s="6" t="inlineStr">
        <is>
          <t>sjenkins@apexlogistics.com</t>
        </is>
      </c>
      <c r="H4" s="6" t="inlineStr">
        <is>
          <t>https://apexlogistics.com</t>
        </is>
      </c>
      <c r="I4" s="6" t="inlineStr">
        <is>
          <t>Tracking + 3D Loading</t>
        </is>
      </c>
      <c r="J4" s="6" t="inlineStr">
        <is>
          <t>ThomasNet (USA)</t>
        </is>
      </c>
      <c r="K4" s="6" t="inlineStr">
        <is>
          <t>2026-09-02</t>
        </is>
      </c>
      <c r="L4" s="6" t="inlineStr">
        <is>
          <t>2026-09-02</t>
        </is>
      </c>
      <c r="M4" s="6" t="inlineStr">
        <is>
          <t>2026-09-05</t>
        </is>
      </c>
      <c r="N4" s="6" t="inlineStr">
        <is>
          <t>Отправлено первое персонализированное письмо с фокусом на SeaRates heritage.</t>
        </is>
      </c>
      <c r="O4" s="6" t="inlineStr">
        <is>
          <t>Follow-up #1 с кейсом оптимизации загрузки контейнеров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2026-08-31T17:06:04Z</dcterms:created>
  <dcterms:modified xmlns:dcterms="http://purl.org/dc/terms/" xmlns:xsi="http://www.w3.org/2001/XMLSchema-instance" xsi:type="dcterms:W3CDTF">2026-08-31T17:06:04Z</dcterms:modified>
</cp:coreProperties>
</file>